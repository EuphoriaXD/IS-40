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Задание 4.11" sheetId="2" r:id="rId6"/>
    <sheet name="Задача 6" sheetId="3" r:id="rId7"/>
    <sheet name="Задача 7" sheetId="4" r:id="rId8"/>
    <sheet name="Задача 8"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<sst xmlns="http://schemas.openxmlformats.org/spreadsheetml/2006/main" uniqueCount="69">
  <si>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</si>
  <si>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</si>
  <si>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</si>
  <si>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</si>
  <si>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Задание 4.11</t>
  </si>
  <si>
    <t>Table 1</t>
  </si>
  <si>
    <t>Исходные данные</t>
  </si>
  <si>
    <t>Первоначальная стоимость (Sперв)</t>
  </si>
  <si>
    <t>тыс. руб.</t>
  </si>
  <si>
    <t>Срок полезного использования (Т)</t>
  </si>
  <si>
    <t>лет</t>
  </si>
  <si>
    <t>Расчет годовой амортизации по годам</t>
  </si>
  <si>
    <t>Год</t>
  </si>
  <si>
    <t>Остаток лет службы</t>
  </si>
  <si>
    <t>Кумулятивное число (знаменатель)</t>
  </si>
  <si>
    <t>Норма амортизации (%)</t>
  </si>
  <si>
    <t>Годовая сумма амортизации (тыс. руб.)</t>
  </si>
  <si>
    <t>Итого</t>
  </si>
  <si>
    <t>Способы начисления амортизации, используемые предприятиями в РФ:</t>
  </si>
  <si>
    <t>1. Линейный способ</t>
  </si>
  <si>
    <t>2. Способ уменьшаемого остатка</t>
  </si>
  <si>
    <t>3. Способ списания стоимости по сумме чисел лет срока полезного использования</t>
  </si>
  <si>
    <t>4. Способ списания стоимости пропорционально объему продукции (работ)</t>
  </si>
  <si>
    <t>Задача 6</t>
  </si>
  <si>
    <t>Установленное оборудование (Nуст)</t>
  </si>
  <si>
    <t>ед.</t>
  </si>
  <si>
    <t>Работало в 1-ю смену (N1)</t>
  </si>
  <si>
    <t>Работало во 2-ю смену (N2)</t>
  </si>
  <si>
    <t>Работало в 3-ю смену (N3)</t>
  </si>
  <si>
    <t>Расчетные показатели</t>
  </si>
  <si>
    <t>Показатель</t>
  </si>
  <si>
    <t>Формула / Расчет</t>
  </si>
  <si>
    <t>Значение</t>
  </si>
  <si>
    <t>Ед. изм.</t>
  </si>
  <si>
    <t>Коэффициент сменности (работающих станков)</t>
  </si>
  <si>
    <t>(N1 + N2 + N3) / MAX(N1,N2,N3)</t>
  </si>
  <si>
    <t>коэф.</t>
  </si>
  <si>
    <t>Коэффициент сменности (установленных станков)</t>
  </si>
  <si>
    <t>(N1 + N2 + N3) / Nуст</t>
  </si>
  <si>
    <t>Доля фактически работающего оборудования</t>
  </si>
  <si>
    <t>MAX(N1,N2,N3) / Nуст</t>
  </si>
  <si>
    <t>доля (90%)</t>
  </si>
  <si>
    <t>Задача 7</t>
  </si>
  <si>
    <t>Плановое время работы в смену (Тпл)</t>
  </si>
  <si>
    <t>часа</t>
  </si>
  <si>
    <t>Фактическое время работы (Тфакт)</t>
  </si>
  <si>
    <t>часов</t>
  </si>
  <si>
    <t>Норма выработки в час (Нвыр)</t>
  </si>
  <si>
    <t>детали</t>
  </si>
  <si>
    <t>Фактически обработано деталей (Qфакт)</t>
  </si>
  <si>
    <t>деталей</t>
  </si>
  <si>
    <t>Коэффициент экстенсивной загрузки (Кэкст)</t>
  </si>
  <si>
    <t>Тфакт / Тпл</t>
  </si>
  <si>
    <t>Коэффициент интенсивной загрузки (Кинт)</t>
  </si>
  <si>
    <t>Qфакт / (Тфакт * Нвыр)</t>
  </si>
  <si>
    <t>Интегральный коэффициент (Кинтегр)</t>
  </si>
  <si>
    <t>Кэкст * Кинт</t>
  </si>
  <si>
    <t>Задача 8</t>
  </si>
  <si>
    <t>Среднегодовая стоимость основных фондов (Sсг)</t>
  </si>
  <si>
    <t>Объем производства валовой продукции (V)</t>
  </si>
  <si>
    <t>Прибыль от продажи продукции (П)</t>
  </si>
  <si>
    <t>Фондоотдача (Фо)</t>
  </si>
  <si>
    <t>V / Sсг</t>
  </si>
  <si>
    <t>руб./руб.</t>
  </si>
  <si>
    <t>Фондоемкость (Фе)</t>
  </si>
  <si>
    <t>1 / Фо</t>
  </si>
  <si>
    <t>Фондорентабельность (Rоф)</t>
  </si>
  <si>
    <t>(П / Sсг) * 100%</t>
  </si>
  <si>
    <t>%</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</si>
</sst>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1"/>
      <color indexed="8"/>
      <name val="Times New Roman"/>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top" wrapText="1"/>
    </xf>
    <xf numFmtId="49" fontId="5" borderId="1" applyNumberFormat="1" applyFont="1" applyFill="0" applyBorder="1" applyAlignment="1" applyProtection="0">
      <alignment vertical="top" wrapText="1"/>
    </xf>
    <xf numFmtId="0" fontId="5" borderId="1" applyNumberFormat="0" applyFont="1" applyFill="0" applyBorder="1" applyAlignment="1" applyProtection="0">
      <alignment vertical="top" wrapText="1"/>
    </xf>
    <xf numFmtId="49" fontId="5" fillId="4" borderId="1" applyNumberFormat="1" applyFont="1" applyFill="1" applyBorder="1" applyAlignment="1" applyProtection="0">
      <alignment vertical="top" wrapText="1"/>
    </xf>
    <xf numFmtId="0" fontId="5" fillId="4" borderId="1" applyNumberFormat="1" applyFont="1" applyFill="1" applyBorder="1" applyAlignment="1" applyProtection="0">
      <alignment vertical="top" wrapText="1"/>
    </xf>
    <xf numFmtId="0" fontId="5" fillId="4" borderId="1" applyNumberFormat="0" applyFont="1" applyFill="1" applyBorder="1" applyAlignment="1" applyProtection="0">
      <alignment vertical="top" wrapText="1"/>
    </xf>
    <xf numFmtId="0" fontId="5" borderId="1"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c8c8c8"/>
      <rgbColor rgb="fff7f7f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23</v>
      </c>
      <c r="C11" s="3"/>
      <c r="D11" s="3"/>
    </row>
    <row r="12">
      <c r="B12" s="4"/>
      <c r="C12" t="s" s="4">
        <v>5</v>
      </c>
      <c r="D12" t="s" s="5">
        <v>23</v>
      </c>
    </row>
    <row r="13">
      <c r="B13" t="s" s="3">
        <v>42</v>
      </c>
      <c r="C13" s="3"/>
      <c r="D13" s="3"/>
    </row>
    <row r="14">
      <c r="B14" s="4"/>
      <c r="C14" t="s" s="4">
        <v>5</v>
      </c>
      <c r="D14" t="s" s="5">
        <v>42</v>
      </c>
    </row>
    <row r="15">
      <c r="B15" t="s" s="3">
        <v>57</v>
      </c>
      <c r="C15" s="3"/>
      <c r="D15" s="3"/>
    </row>
    <row r="16">
      <c r="B16" s="4"/>
      <c r="C16" t="s" s="4">
        <v>5</v>
      </c>
      <c r="D16" t="s" s="5">
        <v>57</v>
      </c>
    </row>
  </sheetData>
  <mergeCells count="1">
    <mergeCell ref="B3:D3"/>
  </mergeCells>
  <hyperlinks>
    <hyperlink ref="D10" location="'Задание 4.11'!R1C1" tooltip="" display="Задание 4.11"/>
    <hyperlink ref="D12" location="'Задача 6'!R1C1" tooltip="" display="Задача 6"/>
    <hyperlink ref="D14" location="'Задача 7'!R1C1" tooltip="" display="Задача 7"/>
    <hyperlink ref="D16" location="'Задача 8'!R1C1" tooltip="" display="Задача 8"/>
  </hyperlinks>
</worksheet>
</file>

<file path=xl/worksheets/sheet2.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8.83333" defaultRowHeight="17.4" customHeight="1" outlineLevelRow="0" outlineLevelCol="0"/>
  <cols>
    <col min="1" max="1" width="82" style="6" customWidth="1"/>
    <col min="2" max="2" width="21" style="6" customWidth="1"/>
    <col min="3" max="3" width="35" style="6" customWidth="1"/>
    <col min="4" max="4" width="25" style="6" customWidth="1"/>
    <col min="5" max="5" width="40" style="6" customWidth="1"/>
    <col min="6" max="16384" width="8.85156" style="6" customWidth="1"/>
  </cols>
  <sheetData>
    <row r="1" ht="16" customHeight="1">
      <c r="A1" t="s" s="7">
        <v>6</v>
      </c>
      <c r="B1" s="8"/>
      <c r="C1" s="8"/>
      <c r="D1" s="8"/>
      <c r="E1" s="8"/>
    </row>
    <row r="2" ht="16" customHeight="1">
      <c r="A2" t="s" s="9">
        <v>7</v>
      </c>
      <c r="B2" s="10">
        <v>8400</v>
      </c>
      <c r="C2" t="s" s="9">
        <v>8</v>
      </c>
      <c r="D2" s="11"/>
      <c r="E2" s="11"/>
    </row>
    <row r="3" ht="16" customHeight="1">
      <c r="A3" t="s" s="7">
        <v>9</v>
      </c>
      <c r="B3" s="12">
        <v>5</v>
      </c>
      <c r="C3" t="s" s="7">
        <v>10</v>
      </c>
      <c r="D3" s="8"/>
      <c r="E3" s="8"/>
    </row>
    <row r="4" ht="16" customHeight="1">
      <c r="A4" s="11"/>
      <c r="B4" s="11"/>
      <c r="C4" s="11"/>
      <c r="D4" s="11"/>
      <c r="E4" s="11"/>
    </row>
    <row r="5" ht="16" customHeight="1">
      <c r="A5" t="s" s="7">
        <v>11</v>
      </c>
      <c r="B5" s="8"/>
      <c r="C5" s="8"/>
      <c r="D5" s="8"/>
      <c r="E5" s="8"/>
    </row>
    <row r="6" ht="25" customHeight="1">
      <c r="A6" t="s" s="9">
        <v>12</v>
      </c>
      <c r="B6" t="s" s="9">
        <v>13</v>
      </c>
      <c r="C6" t="s" s="9">
        <v>14</v>
      </c>
      <c r="D6" t="s" s="9">
        <v>15</v>
      </c>
      <c r="E6" t="s" s="9">
        <v>16</v>
      </c>
    </row>
    <row r="7" ht="16" customHeight="1">
      <c r="A7" s="12">
        <v>1</v>
      </c>
      <c r="B7" s="12">
        <v>5</v>
      </c>
      <c r="C7" s="12" cm="1">
        <f t="array" ref="C7">SUM($B$3,4,3,2,1)</f>
        <v>15</v>
      </c>
      <c r="D7" s="12" cm="1">
        <f t="array" ref="D7">ROUND(B7/C7*100,2)</f>
        <v>33.33</v>
      </c>
      <c r="E7" s="12" cm="1">
        <f t="array" ref="E7">$B$2*B7/C7</f>
        <v>2800</v>
      </c>
    </row>
    <row r="8" ht="16" customHeight="1">
      <c r="A8" s="10">
        <v>2</v>
      </c>
      <c r="B8" s="10">
        <v>4</v>
      </c>
      <c r="C8" s="10" cm="1">
        <f t="array" ref="C8">SUM($B$3,4,3,2,1)</f>
        <v>15</v>
      </c>
      <c r="D8" s="10" cm="1">
        <f t="array" ref="D8">ROUND(B8/C8*100,2)</f>
        <v>26.67</v>
      </c>
      <c r="E8" s="10" cm="1">
        <f t="array" ref="E8">$B$2*B8/C8</f>
        <v>2240</v>
      </c>
    </row>
    <row r="9" ht="16" customHeight="1">
      <c r="A9" s="12">
        <v>3</v>
      </c>
      <c r="B9" s="12">
        <v>3</v>
      </c>
      <c r="C9" s="12" cm="1">
        <f t="array" ref="C9">SUM($B$3,4,3,2,1)</f>
        <v>15</v>
      </c>
      <c r="D9" s="12" cm="1">
        <f t="array" ref="D9">ROUND(B9/C9*100,2)</f>
        <v>20</v>
      </c>
      <c r="E9" s="12" cm="1">
        <f t="array" ref="E9">$B$2*B9/C9</f>
        <v>1680</v>
      </c>
    </row>
    <row r="10" ht="16" customHeight="1">
      <c r="A10" s="10">
        <v>4</v>
      </c>
      <c r="B10" s="10">
        <v>2</v>
      </c>
      <c r="C10" s="10" cm="1">
        <f t="array" ref="C10">SUM($B$3,4,3,2,1)</f>
        <v>15</v>
      </c>
      <c r="D10" s="10" cm="1">
        <f t="array" ref="D10">ROUND(B10/C10*100,2)</f>
        <v>13.33</v>
      </c>
      <c r="E10" s="10" cm="1">
        <f t="array" ref="E10">$B$2*B10/C10</f>
        <v>1120</v>
      </c>
    </row>
    <row r="11" ht="16" customHeight="1">
      <c r="A11" s="12">
        <v>5</v>
      </c>
      <c r="B11" s="12">
        <v>1</v>
      </c>
      <c r="C11" s="12" cm="1">
        <f t="array" ref="C11">SUM($B$3,4,3,2,1)</f>
        <v>15</v>
      </c>
      <c r="D11" s="12" cm="1">
        <f t="array" ref="D11">ROUND(B11/C11*100,2)</f>
        <v>6.67</v>
      </c>
      <c r="E11" s="12" cm="1">
        <f t="array" ref="E11">$B$2*B11/C11</f>
        <v>560</v>
      </c>
    </row>
    <row r="12" ht="16" customHeight="1">
      <c r="A12" t="s" s="9">
        <v>17</v>
      </c>
      <c r="B12" s="11"/>
      <c r="C12" s="11"/>
      <c r="D12" s="10" cm="1">
        <f t="array" ref="D12">SUM(D7:D11)</f>
        <v>100</v>
      </c>
      <c r="E12" s="10" cm="1">
        <f t="array" ref="E12">SUM(E7:E11)</f>
        <v>8400</v>
      </c>
    </row>
    <row r="13" ht="16" customHeight="1">
      <c r="A13" s="8"/>
      <c r="B13" s="8"/>
      <c r="C13" s="8"/>
      <c r="D13" s="8"/>
      <c r="E13" s="8"/>
    </row>
    <row r="14" ht="16" customHeight="1">
      <c r="A14" t="s" s="9">
        <v>18</v>
      </c>
      <c r="B14" s="11"/>
      <c r="C14" s="11"/>
      <c r="D14" s="11"/>
      <c r="E14" s="11"/>
    </row>
    <row r="15" ht="16" customHeight="1">
      <c r="A15" t="s" s="7">
        <v>19</v>
      </c>
      <c r="B15" s="8"/>
      <c r="C15" s="8"/>
      <c r="D15" s="8"/>
      <c r="E15" s="8"/>
    </row>
    <row r="16" ht="16" customHeight="1">
      <c r="A16" t="s" s="9">
        <v>20</v>
      </c>
      <c r="B16" s="11"/>
      <c r="C16" s="11"/>
      <c r="D16" s="11"/>
      <c r="E16" s="11"/>
    </row>
    <row r="17" ht="16" customHeight="1">
      <c r="A17" t="s" s="7">
        <v>21</v>
      </c>
      <c r="B17" s="8"/>
      <c r="C17" s="8"/>
      <c r="D17" s="8"/>
      <c r="E17" s="8"/>
    </row>
    <row r="18" ht="16" customHeight="1">
      <c r="A18" t="s" s="9">
        <v>22</v>
      </c>
      <c r="B18" s="11"/>
      <c r="C18" s="11"/>
      <c r="D18" s="11"/>
      <c r="E18"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7.4" customHeight="1" outlineLevelRow="0" outlineLevelCol="0"/>
  <cols>
    <col min="1" max="1" width="66" style="13" customWidth="1"/>
    <col min="2" max="2" width="33" style="13" customWidth="1"/>
    <col min="3" max="3" width="25" style="13" customWidth="1"/>
    <col min="4" max="4" width="13" style="13" customWidth="1"/>
    <col min="5" max="5" width="8.85156" style="13" customWidth="1"/>
    <col min="6" max="16384" width="8.85156" style="13" customWidth="1"/>
  </cols>
  <sheetData>
    <row r="1" ht="16" customHeight="1">
      <c r="A1" t="s" s="7">
        <v>6</v>
      </c>
      <c r="B1" s="8"/>
      <c r="C1" s="8"/>
      <c r="D1" s="8"/>
      <c r="E1" s="8"/>
    </row>
    <row r="2" ht="16" customHeight="1">
      <c r="A2" t="s" s="9">
        <v>24</v>
      </c>
      <c r="B2" s="10">
        <v>500</v>
      </c>
      <c r="C2" t="s" s="9">
        <v>25</v>
      </c>
      <c r="D2" s="11"/>
      <c r="E2" s="11"/>
    </row>
    <row r="3" ht="16" customHeight="1">
      <c r="A3" t="s" s="7">
        <v>26</v>
      </c>
      <c r="B3" s="12">
        <v>450</v>
      </c>
      <c r="C3" t="s" s="7">
        <v>25</v>
      </c>
      <c r="D3" s="8"/>
      <c r="E3" s="8"/>
    </row>
    <row r="4" ht="16" customHeight="1">
      <c r="A4" t="s" s="9">
        <v>27</v>
      </c>
      <c r="B4" s="10">
        <v>350</v>
      </c>
      <c r="C4" t="s" s="9">
        <v>25</v>
      </c>
      <c r="D4" s="11"/>
      <c r="E4" s="11"/>
    </row>
    <row r="5" ht="16" customHeight="1">
      <c r="A5" t="s" s="7">
        <v>28</v>
      </c>
      <c r="B5" s="12">
        <v>100</v>
      </c>
      <c r="C5" t="s" s="7">
        <v>25</v>
      </c>
      <c r="D5" s="8"/>
      <c r="E5" s="8"/>
    </row>
    <row r="6" ht="16" customHeight="1">
      <c r="A6" s="11"/>
      <c r="B6" s="11"/>
      <c r="C6" s="11"/>
      <c r="D6" s="11"/>
      <c r="E6" s="11"/>
    </row>
    <row r="7" ht="16" customHeight="1">
      <c r="A7" t="s" s="7">
        <v>29</v>
      </c>
      <c r="B7" s="8"/>
      <c r="C7" s="8"/>
      <c r="D7" s="8"/>
      <c r="E7" s="8"/>
    </row>
    <row r="8" ht="16" customHeight="1">
      <c r="A8" t="s" s="9">
        <v>30</v>
      </c>
      <c r="B8" t="s" s="9">
        <v>31</v>
      </c>
      <c r="C8" t="s" s="9">
        <v>32</v>
      </c>
      <c r="D8" t="s" s="9">
        <v>33</v>
      </c>
      <c r="E8" s="11"/>
    </row>
    <row r="9" ht="16" customHeight="1">
      <c r="A9" t="s" s="7">
        <v>34</v>
      </c>
      <c r="B9" t="s" s="7">
        <v>35</v>
      </c>
      <c r="C9" s="12" cm="1">
        <f t="array" ref="C9">SUM(B3:B5)/MAX(B3:B5)</f>
        <v>2</v>
      </c>
      <c r="D9" t="s" s="7">
        <v>36</v>
      </c>
      <c r="E9" s="8"/>
    </row>
    <row r="10" ht="16" customHeight="1">
      <c r="A10" t="s" s="9">
        <v>37</v>
      </c>
      <c r="B10" t="s" s="9">
        <v>38</v>
      </c>
      <c r="C10" s="10" cm="1">
        <f t="array" ref="C10">SUM(B3:B5)/B2</f>
        <v>1.8</v>
      </c>
      <c r="D10" t="s" s="9">
        <v>36</v>
      </c>
      <c r="E10" s="11"/>
    </row>
    <row r="11" ht="16" customHeight="1">
      <c r="A11" t="s" s="7">
        <v>39</v>
      </c>
      <c r="B11" t="s" s="7">
        <v>40</v>
      </c>
      <c r="C11" s="12" cm="1">
        <f t="array" ref="C11">MAX(B3:B5)/B2</f>
        <v>0.9</v>
      </c>
      <c r="D11" t="s" s="7">
        <v>41</v>
      </c>
      <c r="E11"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7.4" customHeight="1" outlineLevelRow="0" outlineLevelCol="0"/>
  <cols>
    <col min="1" max="1" width="62" style="14" customWidth="1"/>
    <col min="2" max="2" width="25" style="14" customWidth="1"/>
    <col min="3" max="3" width="14" style="14" customWidth="1"/>
    <col min="4" max="4" width="12" style="14" customWidth="1"/>
    <col min="5" max="5" width="8.85156" style="14" customWidth="1"/>
    <col min="6" max="16384" width="8.85156" style="14" customWidth="1"/>
  </cols>
  <sheetData>
    <row r="1" ht="16" customHeight="1">
      <c r="A1" t="s" s="7">
        <v>6</v>
      </c>
      <c r="B1" s="8"/>
      <c r="C1" s="8"/>
      <c r="D1" s="8"/>
      <c r="E1" s="8"/>
    </row>
    <row r="2" ht="16" customHeight="1">
      <c r="A2" t="s" s="9">
        <v>43</v>
      </c>
      <c r="B2" s="10">
        <v>7.5</v>
      </c>
      <c r="C2" t="s" s="9">
        <v>44</v>
      </c>
      <c r="D2" s="11"/>
      <c r="E2" s="11"/>
    </row>
    <row r="3" ht="16" customHeight="1">
      <c r="A3" t="s" s="7">
        <v>45</v>
      </c>
      <c r="B3" s="12">
        <v>7</v>
      </c>
      <c r="C3" t="s" s="7">
        <v>46</v>
      </c>
      <c r="D3" s="8"/>
      <c r="E3" s="8"/>
    </row>
    <row r="4" ht="16" customHeight="1">
      <c r="A4" t="s" s="9">
        <v>47</v>
      </c>
      <c r="B4" s="10">
        <v>4</v>
      </c>
      <c r="C4" t="s" s="9">
        <v>48</v>
      </c>
      <c r="D4" s="11"/>
      <c r="E4" s="11"/>
    </row>
    <row r="5" ht="16" customHeight="1">
      <c r="A5" t="s" s="7">
        <v>49</v>
      </c>
      <c r="B5" s="12">
        <v>27</v>
      </c>
      <c r="C5" t="s" s="7">
        <v>50</v>
      </c>
      <c r="D5" s="8"/>
      <c r="E5" s="8"/>
    </row>
    <row r="6" ht="16" customHeight="1">
      <c r="A6" s="11"/>
      <c r="B6" s="11"/>
      <c r="C6" s="11"/>
      <c r="D6" s="11"/>
      <c r="E6" s="11"/>
    </row>
    <row r="7" ht="16" customHeight="1">
      <c r="A7" t="s" s="7">
        <v>29</v>
      </c>
      <c r="B7" s="8"/>
      <c r="C7" s="8"/>
      <c r="D7" s="8"/>
      <c r="E7" s="8"/>
    </row>
    <row r="8" ht="16" customHeight="1">
      <c r="A8" t="s" s="9">
        <v>30</v>
      </c>
      <c r="B8" t="s" s="9">
        <v>31</v>
      </c>
      <c r="C8" t="s" s="9">
        <v>32</v>
      </c>
      <c r="D8" t="s" s="9">
        <v>33</v>
      </c>
      <c r="E8" s="11"/>
    </row>
    <row r="9" ht="16" customHeight="1">
      <c r="A9" t="s" s="7">
        <v>51</v>
      </c>
      <c r="B9" t="s" s="7">
        <v>52</v>
      </c>
      <c r="C9" s="12" cm="1">
        <f t="array" ref="C9">B3/B2</f>
        <v>0.933333333333333</v>
      </c>
      <c r="D9" t="s" s="7">
        <v>36</v>
      </c>
      <c r="E9" s="8"/>
    </row>
    <row r="10" ht="16" customHeight="1">
      <c r="A10" t="s" s="9">
        <v>53</v>
      </c>
      <c r="B10" t="s" s="9">
        <v>54</v>
      </c>
      <c r="C10" s="10" cm="1">
        <f t="array" ref="C10">B5/(B3*B4)</f>
        <v>0.964285714285714</v>
      </c>
      <c r="D10" t="s" s="9">
        <v>36</v>
      </c>
      <c r="E10" s="11"/>
    </row>
    <row r="11" ht="16" customHeight="1">
      <c r="A11" t="s" s="7">
        <v>55</v>
      </c>
      <c r="B11" t="s" s="7">
        <v>56</v>
      </c>
      <c r="C11" s="12" cm="1">
        <f t="array" ref="C11">C9*C10</f>
        <v>0.899999999999999</v>
      </c>
      <c r="D11" t="s" s="7">
        <v>36</v>
      </c>
      <c r="E11"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7.4" customHeight="1" outlineLevelRow="0" outlineLevelCol="0"/>
  <cols>
    <col min="1" max="1" width="53" style="15" customWidth="1"/>
    <col min="2" max="2" width="19" style="15" customWidth="1"/>
    <col min="3" max="3" width="15" style="15" customWidth="1"/>
    <col min="4" max="4" width="12" style="15" customWidth="1"/>
    <col min="5" max="5" width="8.85156" style="15" customWidth="1"/>
    <col min="6" max="16384" width="8.85156" style="15" customWidth="1"/>
  </cols>
  <sheetData>
    <row r="1" ht="16" customHeight="1">
      <c r="A1" t="s" s="7">
        <v>6</v>
      </c>
      <c r="B1" s="8"/>
      <c r="C1" s="8"/>
      <c r="D1" s="8"/>
      <c r="E1" s="8"/>
    </row>
    <row r="2" ht="16" customHeight="1">
      <c r="A2" t="s" s="9">
        <v>58</v>
      </c>
      <c r="B2" s="10">
        <v>12400</v>
      </c>
      <c r="C2" t="s" s="9">
        <v>8</v>
      </c>
      <c r="D2" s="11"/>
      <c r="E2" s="11"/>
    </row>
    <row r="3" ht="16" customHeight="1">
      <c r="A3" t="s" s="7">
        <v>59</v>
      </c>
      <c r="B3" s="12">
        <v>55800</v>
      </c>
      <c r="C3" t="s" s="7">
        <v>8</v>
      </c>
      <c r="D3" s="8"/>
      <c r="E3" s="8"/>
    </row>
    <row r="4" ht="16" customHeight="1">
      <c r="A4" t="s" s="9">
        <v>60</v>
      </c>
      <c r="B4" s="10">
        <v>1860</v>
      </c>
      <c r="C4" t="s" s="9">
        <v>8</v>
      </c>
      <c r="D4" s="11"/>
      <c r="E4" s="11"/>
    </row>
    <row r="5" ht="16" customHeight="1">
      <c r="A5" s="8"/>
      <c r="B5" s="8"/>
      <c r="C5" s="8"/>
      <c r="D5" s="8"/>
      <c r="E5" s="8"/>
    </row>
    <row r="6" ht="16" customHeight="1">
      <c r="A6" t="s" s="9">
        <v>29</v>
      </c>
      <c r="B6" s="11"/>
      <c r="C6" s="11"/>
      <c r="D6" s="11"/>
      <c r="E6" s="11"/>
    </row>
    <row r="7" ht="16" customHeight="1">
      <c r="A7" t="s" s="7">
        <v>30</v>
      </c>
      <c r="B7" t="s" s="7">
        <v>31</v>
      </c>
      <c r="C7" t="s" s="7">
        <v>32</v>
      </c>
      <c r="D7" t="s" s="7">
        <v>33</v>
      </c>
      <c r="E7" s="8"/>
    </row>
    <row r="8" ht="16" customHeight="1">
      <c r="A8" t="s" s="9">
        <v>61</v>
      </c>
      <c r="B8" t="s" s="9">
        <v>62</v>
      </c>
      <c r="C8" s="10" cm="1">
        <f t="array" ref="C8">B3/B2</f>
        <v>4.5</v>
      </c>
      <c r="D8" t="s" s="9">
        <v>63</v>
      </c>
      <c r="E8" s="11"/>
    </row>
    <row r="9" ht="16" customHeight="1">
      <c r="A9" t="s" s="7">
        <v>64</v>
      </c>
      <c r="B9" t="s" s="7">
        <v>65</v>
      </c>
      <c r="C9" s="12" cm="1">
        <f t="array" ref="C9">1/C8</f>
        <v>0.222222222222222</v>
      </c>
      <c r="D9" t="s" s="7">
        <v>63</v>
      </c>
      <c r="E9" s="8"/>
    </row>
    <row r="10" ht="16" customHeight="1">
      <c r="A10" t="s" s="9">
        <v>66</v>
      </c>
      <c r="B10" t="s" s="9">
        <v>67</v>
      </c>
      <c r="C10" s="10" cm="1">
        <f t="array" ref="C10">(B4/B2)*100</f>
        <v>15</v>
      </c>
      <c r="D10" t="s" s="9">
        <v>68</v>
      </c>
      <c r="E10"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