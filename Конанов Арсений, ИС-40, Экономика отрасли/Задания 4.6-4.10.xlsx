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5"/>
    <sheet name="Задание 4.6" sheetId="2" r:id="rId6"/>
    <sheet name="Задание 4.7" sheetId="3" r:id="rId7"/>
    <sheet name="Задание 4.8" sheetId="4" r:id="rId8"/>
    <sheet name="Задание 4.9" sheetId="5" r:id="rId9"/>
    <sheet name="Задание 4.10" sheetId="6" r:id="rId10"/>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<sst xmlns="http://schemas.openxmlformats.org/spreadsheetml/2006/main" uniqueCount="63">
  <si>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</si>
  <si>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</si>
  <si>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</si>
  <si>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</si>
  <si>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Задание 4.6</t>
  </si>
  <si>
    <t>Table 1</t>
  </si>
  <si>
    <t>Показатель</t>
  </si>
  <si>
    <t>Значение</t>
  </si>
  <si>
    <t>Ед. изм.</t>
  </si>
  <si>
    <t>Стоимость оборудования на начало года (Sн)</t>
  </si>
  <si>
    <t>тыс. руб.</t>
  </si>
  <si>
    <t>Стоимость введенного оборудования (Sввод)</t>
  </si>
  <si>
    <t>Месяц ввода оборудования</t>
  </si>
  <si>
    <t>Март</t>
  </si>
  <si>
    <t>Количество месяцев работы введенного оборудования (М1)</t>
  </si>
  <si>
    <t>Месяц</t>
  </si>
  <si>
    <t>Стоимость выбывшего оборудования (Sвыб)</t>
  </si>
  <si>
    <t>Месяц выбытия оборудования</t>
  </si>
  <si>
    <t>Июль</t>
  </si>
  <si>
    <t>Количество месяцев неработы выбывшего оборудования (М2)</t>
  </si>
  <si>
    <t>Объем выпуска продукции в натуральном выражении</t>
  </si>
  <si>
    <t>тыс. тонн</t>
  </si>
  <si>
    <t>Цена 1 тонны продукции</t>
  </si>
  <si>
    <t>руб.</t>
  </si>
  <si>
    <t>Производственная мощность предприятия</t>
  </si>
  <si>
    <t>Среднегодовая стоимость оборудования (Sсг)</t>
  </si>
  <si>
    <t>Стоимость выпущенной продукции (V)</t>
  </si>
  <si>
    <t>Фондоотдача оборудования (Фо)</t>
  </si>
  <si>
    <t>руб./руб.</t>
  </si>
  <si>
    <t>Коэффициент интенсивного использования (Кинт)</t>
  </si>
  <si>
    <t>Задание 4.7</t>
  </si>
  <si>
    <t>Полная первоначальная стоимость станка (Sперв)</t>
  </si>
  <si>
    <t>Срок службы станка (Т)</t>
  </si>
  <si>
    <t>лет</t>
  </si>
  <si>
    <t>Затраты на модернизацию (Змод)</t>
  </si>
  <si>
    <t>Расходы по демонтажу (Рдем)</t>
  </si>
  <si>
    <t>Остаточная стоимость станка (Sост)</t>
  </si>
  <si>
    <t>Амортизируемая стоимость станка (Sам)</t>
  </si>
  <si>
    <t>Годовая сумма амортизационных отчислений (Агод)</t>
  </si>
  <si>
    <t>Норма амортизации (На)</t>
  </si>
  <si>
    <t>Процент</t>
  </si>
  <si>
    <t>Задание 4.8</t>
  </si>
  <si>
    <t>Первоначальная стоимость ОПФ (Sперв)</t>
  </si>
  <si>
    <t>млн. руб.</t>
  </si>
  <si>
    <t>Срок службы ОПФ (Т)</t>
  </si>
  <si>
    <t>Ликвидационная стоимость ОПФ (Sликв)</t>
  </si>
  <si>
    <t>Амортизируемая стоимость (Sам)</t>
  </si>
  <si>
    <t>Годовая сумма амортизации (Агод)</t>
  </si>
  <si>
    <t>Среднегодовая норма амортизации (На)</t>
  </si>
  <si>
    <t>%</t>
  </si>
  <si>
    <t>Задание 4.9</t>
  </si>
  <si>
    <t>Первоначальная стоимость объекта (Sперв)</t>
  </si>
  <si>
    <t>Срок полезного использования (Т)</t>
  </si>
  <si>
    <t>Норма амортизационных отчислений (На)</t>
  </si>
  <si>
    <t>Задание 4.10</t>
  </si>
  <si>
    <t>Параметр</t>
  </si>
  <si>
    <t>Коэффициент ускорения (k)</t>
  </si>
  <si>
    <t>Годовая норма амортизации (На)</t>
  </si>
  <si>
    <t>График начисления амортизации по годам:</t>
  </si>
  <si>
    <t>Год</t>
  </si>
  <si>
    <t>Базовая стоимость для расчетов (тыс. руб.)</t>
  </si>
  <si>
    <t>Годовая сумма амортизации (тыс. руб.)</t>
  </si>
  <si>
    <t>Остаточная стоимость (тыс. руб.)</t>
  </si>
</sst>
</file>

<file path=xl/styles.xml><?xml version="1.0" encoding="utf-8"?>
<styleSheet xmlns="http://schemas.openxmlformats.org/spreadsheetml/2006/main">
  <numFmts count="1">
    <numFmt numFmtId="0" formatCode="General"/>
  </numFmts>
  <fonts count="6">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1"/>
      <color indexed="8"/>
      <name val="Times New Roman"/>
    </font>
  </fonts>
  <fills count="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s>
  <borders count="2">
    <border>
      <left/>
      <right/>
      <top/>
      <bottom/>
      <diagonal/>
    </border>
    <border>
      <left style="thin">
        <color indexed="12"/>
      </left>
      <right style="thin">
        <color indexed="12"/>
      </right>
      <top style="thin">
        <color indexed="12"/>
      </top>
      <bottom style="thin">
        <color indexed="12"/>
      </bottom>
      <diagonal/>
    </border>
  </borders>
  <cellStyleXfs count="1">
    <xf numFmtId="0" fontId="0" applyNumberFormat="0" applyFont="1" applyFill="0" applyBorder="0" applyAlignment="1" applyProtection="0">
      <alignment vertical="bottom"/>
    </xf>
  </cellStyleXfs>
  <cellXfs count="21">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top" wrapText="1"/>
    </xf>
    <xf numFmtId="49" fontId="5" borderId="1" applyNumberFormat="1" applyFont="1" applyFill="0" applyBorder="1" applyAlignment="1" applyProtection="0">
      <alignment vertical="top" wrapText="1"/>
    </xf>
    <xf numFmtId="49" fontId="5" fillId="4" borderId="1" applyNumberFormat="1" applyFont="1" applyFill="1" applyBorder="1" applyAlignment="1" applyProtection="0">
      <alignment vertical="top" wrapText="1"/>
    </xf>
    <xf numFmtId="4" fontId="5" fillId="4" borderId="1" applyNumberFormat="1" applyFont="1" applyFill="1" applyBorder="1" applyAlignment="1" applyProtection="0">
      <alignment vertical="top" wrapText="1"/>
    </xf>
    <xf numFmtId="4" fontId="5" borderId="1" applyNumberFormat="1" applyFont="1" applyFill="0" applyBorder="1" applyAlignment="1" applyProtection="0">
      <alignment vertical="top" wrapText="1"/>
    </xf>
    <xf numFmtId="0" fontId="5" fillId="4" borderId="1" applyNumberFormat="0" applyFont="1" applyFill="1" applyBorder="1" applyAlignment="1" applyProtection="0">
      <alignment vertical="top" wrapText="1"/>
    </xf>
    <xf numFmtId="0" fontId="5" borderId="1" applyNumberFormat="0" applyFont="1" applyFill="0" applyBorder="1" applyAlignment="1" applyProtection="0">
      <alignment vertical="top" wrapText="1"/>
    </xf>
    <xf numFmtId="0" fontId="0" applyNumberFormat="1" applyFont="1" applyFill="0" applyBorder="0" applyAlignment="1" applyProtection="0">
      <alignment vertical="top" wrapText="1"/>
    </xf>
    <xf numFmtId="10" fontId="5" borderId="1" applyNumberFormat="1" applyFont="1" applyFill="0" applyBorder="1"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10" fontId="5" fillId="4" borderId="1" applyNumberFormat="1" applyFont="1" applyFill="1" applyBorder="1" applyAlignment="1" applyProtection="0">
      <alignment vertical="top" wrapText="1"/>
    </xf>
    <xf numFmtId="0" fontId="0" applyNumberFormat="1" applyFont="1" applyFill="0" applyBorder="0" applyAlignment="1" applyProtection="0">
      <alignment vertical="top" wrapText="1"/>
    </xf>
    <xf numFmtId="0" fontId="5" fillId="4" borderId="1" applyNumberFormat="1" applyFont="1" applyFill="1" applyBorder="1" applyAlignment="1" applyProtection="0">
      <alignment vertical="top" wrapText="1"/>
    </xf>
    <xf numFmtId="0" fontId="5" borderId="1" applyNumberFormat="1" applyFont="1" applyFill="0"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c8c8c8"/>
      <rgbColor rgb="fff7f7f6"/>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30</v>
      </c>
      <c r="C11" s="3"/>
      <c r="D11" s="3"/>
    </row>
    <row r="12">
      <c r="B12" s="4"/>
      <c r="C12" t="s" s="4">
        <v>5</v>
      </c>
      <c r="D12" t="s" s="5">
        <v>30</v>
      </c>
    </row>
    <row r="13">
      <c r="B13" t="s" s="3">
        <v>41</v>
      </c>
      <c r="C13" s="3"/>
      <c r="D13" s="3"/>
    </row>
    <row r="14">
      <c r="B14" s="4"/>
      <c r="C14" t="s" s="4">
        <v>5</v>
      </c>
      <c r="D14" t="s" s="5">
        <v>41</v>
      </c>
    </row>
    <row r="15">
      <c r="B15" t="s" s="3">
        <v>50</v>
      </c>
      <c r="C15" s="3"/>
      <c r="D15" s="3"/>
    </row>
    <row r="16">
      <c r="B16" s="4"/>
      <c r="C16" t="s" s="4">
        <v>5</v>
      </c>
      <c r="D16" t="s" s="5">
        <v>50</v>
      </c>
    </row>
    <row r="17">
      <c r="B17" t="s" s="3">
        <v>54</v>
      </c>
      <c r="C17" s="3"/>
      <c r="D17" s="3"/>
    </row>
    <row r="18">
      <c r="B18" s="4"/>
      <c r="C18" t="s" s="4">
        <v>5</v>
      </c>
      <c r="D18" t="s" s="5">
        <v>54</v>
      </c>
    </row>
  </sheetData>
  <mergeCells count="1">
    <mergeCell ref="B3:D3"/>
  </mergeCells>
  <hyperlinks>
    <hyperlink ref="D10" location="'Задание 4.6'!R1C1" tooltip="" display="Задание 4.6"/>
    <hyperlink ref="D12" location="'Задание 4.7'!R1C1" tooltip="" display="Задание 4.7"/>
    <hyperlink ref="D14" location="'Задание 4.8'!R1C1" tooltip="" display="Задание 4.8"/>
    <hyperlink ref="D16" location="'Задание 4.9'!R1C1" tooltip="" display="Задание 4.9"/>
    <hyperlink ref="D18" location="'Задание 4.10'!R1C1" tooltip="" display="Задание 4.10"/>
  </hyperlinks>
</worksheet>
</file>

<file path=xl/worksheets/sheet2.xml><?xml version="1.0" encoding="utf-8"?>
<worksheet xmlns:r="http://schemas.openxmlformats.org/officeDocument/2006/relationships" xmlns="http://schemas.openxmlformats.org/spreadsheetml/2006/main">
  <dimension ref="A1:C15"/>
  <sheetViews>
    <sheetView workbookViewId="0" showGridLines="0" defaultGridColor="1"/>
  </sheetViews>
  <sheetFormatPr defaultColWidth="8.83333" defaultRowHeight="17.4" customHeight="1" outlineLevelRow="0" outlineLevelCol="0"/>
  <cols>
    <col min="1" max="1" width="55" style="6" customWidth="1"/>
    <col min="2" max="2" width="12" style="6" customWidth="1"/>
    <col min="3" max="3" width="13" style="6" customWidth="1"/>
    <col min="4" max="16384" width="8.85156" style="6" customWidth="1"/>
  </cols>
  <sheetData>
    <row r="1" ht="16" customHeight="1">
      <c r="A1" t="s" s="7">
        <v>6</v>
      </c>
      <c r="B1" t="s" s="7">
        <v>7</v>
      </c>
      <c r="C1" t="s" s="7">
        <v>8</v>
      </c>
    </row>
    <row r="2" ht="16" customHeight="1">
      <c r="A2" t="s" s="8">
        <v>9</v>
      </c>
      <c r="B2" s="9">
        <v>15000</v>
      </c>
      <c r="C2" t="s" s="8">
        <v>10</v>
      </c>
    </row>
    <row r="3" ht="16" customHeight="1">
      <c r="A3" t="s" s="7">
        <v>11</v>
      </c>
      <c r="B3" s="10">
        <v>45.6</v>
      </c>
      <c r="C3" t="s" s="7">
        <v>10</v>
      </c>
    </row>
    <row r="4" ht="16" customHeight="1">
      <c r="A4" t="s" s="8">
        <v>12</v>
      </c>
      <c r="B4" t="s" s="8">
        <v>13</v>
      </c>
      <c r="C4" s="11"/>
    </row>
    <row r="5" ht="16" customHeight="1">
      <c r="A5" t="s" s="7">
        <v>14</v>
      </c>
      <c r="B5" s="10">
        <v>10</v>
      </c>
      <c r="C5" t="s" s="7">
        <v>15</v>
      </c>
    </row>
    <row r="6" ht="16" customHeight="1">
      <c r="A6" t="s" s="8">
        <v>16</v>
      </c>
      <c r="B6" s="9">
        <v>20.4</v>
      </c>
      <c r="C6" t="s" s="8">
        <v>10</v>
      </c>
    </row>
    <row r="7" ht="16" customHeight="1">
      <c r="A7" t="s" s="7">
        <v>17</v>
      </c>
      <c r="B7" t="s" s="7">
        <v>18</v>
      </c>
      <c r="C7" s="12"/>
    </row>
    <row r="8" ht="16" customHeight="1">
      <c r="A8" t="s" s="8">
        <v>19</v>
      </c>
      <c r="B8" s="9">
        <v>6</v>
      </c>
      <c r="C8" t="s" s="8">
        <v>15</v>
      </c>
    </row>
    <row r="9" ht="16" customHeight="1">
      <c r="A9" t="s" s="7">
        <v>20</v>
      </c>
      <c r="B9" s="10">
        <v>800</v>
      </c>
      <c r="C9" t="s" s="7">
        <v>21</v>
      </c>
    </row>
    <row r="10" ht="16" customHeight="1">
      <c r="A10" t="s" s="8">
        <v>22</v>
      </c>
      <c r="B10" s="9">
        <v>30</v>
      </c>
      <c r="C10" t="s" s="8">
        <v>23</v>
      </c>
    </row>
    <row r="11" ht="16" customHeight="1">
      <c r="A11" t="s" s="7">
        <v>24</v>
      </c>
      <c r="B11" s="10">
        <v>1000</v>
      </c>
      <c r="C11" t="s" s="7">
        <v>21</v>
      </c>
    </row>
    <row r="12" ht="16" customHeight="1">
      <c r="A12" t="s" s="8">
        <v>25</v>
      </c>
      <c r="B12" s="9" cm="1">
        <f t="array" ref="B12">B2+(B5/12*B3)-(B8/12*B6)</f>
        <v>15027.8</v>
      </c>
      <c r="C12" t="s" s="8">
        <v>10</v>
      </c>
    </row>
    <row r="13" ht="16" customHeight="1">
      <c r="A13" t="s" s="7">
        <v>26</v>
      </c>
      <c r="B13" s="10" cm="1">
        <f t="array" ref="B13">B9*B10</f>
        <v>24000</v>
      </c>
      <c r="C13" t="s" s="7">
        <v>10</v>
      </c>
    </row>
    <row r="14" ht="16" customHeight="1">
      <c r="A14" t="s" s="8">
        <v>27</v>
      </c>
      <c r="B14" s="9" cm="1">
        <f t="array" ref="B14">B13/B12</f>
        <v>1.59704015225116</v>
      </c>
      <c r="C14" t="s" s="8">
        <v>28</v>
      </c>
    </row>
    <row r="15" ht="16" customHeight="1">
      <c r="A15" t="s" s="7">
        <v>29</v>
      </c>
      <c r="B15" s="10" cm="1">
        <f t="array" ref="B15">B9/B11</f>
        <v>0.8</v>
      </c>
      <c r="C15" s="12"/>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C9"/>
  <sheetViews>
    <sheetView workbookViewId="0" showGridLines="0" defaultGridColor="1"/>
  </sheetViews>
  <sheetFormatPr defaultColWidth="8.83333" defaultRowHeight="17.4" customHeight="1" outlineLevelRow="0" outlineLevelCol="0"/>
  <cols>
    <col min="1" max="1" width="50" style="13" customWidth="1"/>
    <col min="2" max="2" width="12" style="13" customWidth="1"/>
    <col min="3" max="3" width="13" style="13" customWidth="1"/>
    <col min="4" max="16384" width="8.85156" style="13" customWidth="1"/>
  </cols>
  <sheetData>
    <row r="1" ht="16" customHeight="1">
      <c r="A1" t="s" s="7">
        <v>6</v>
      </c>
      <c r="B1" t="s" s="7">
        <v>7</v>
      </c>
      <c r="C1" t="s" s="7">
        <v>8</v>
      </c>
    </row>
    <row r="2" ht="16" customHeight="1">
      <c r="A2" t="s" s="8">
        <v>31</v>
      </c>
      <c r="B2" s="9">
        <v>10.2</v>
      </c>
      <c r="C2" t="s" s="8">
        <v>10</v>
      </c>
    </row>
    <row r="3" ht="16" customHeight="1">
      <c r="A3" t="s" s="7">
        <v>32</v>
      </c>
      <c r="B3" s="10">
        <v>8</v>
      </c>
      <c r="C3" t="s" s="7">
        <v>33</v>
      </c>
    </row>
    <row r="4" ht="16" customHeight="1">
      <c r="A4" t="s" s="8">
        <v>34</v>
      </c>
      <c r="B4" s="9">
        <v>2.3</v>
      </c>
      <c r="C4" t="s" s="8">
        <v>10</v>
      </c>
    </row>
    <row r="5" ht="16" customHeight="1">
      <c r="A5" t="s" s="7">
        <v>35</v>
      </c>
      <c r="B5" s="10">
        <v>0.2</v>
      </c>
      <c r="C5" t="s" s="7">
        <v>10</v>
      </c>
    </row>
    <row r="6" ht="16" customHeight="1">
      <c r="A6" t="s" s="8">
        <v>36</v>
      </c>
      <c r="B6" s="9">
        <v>0.5</v>
      </c>
      <c r="C6" t="s" s="8">
        <v>10</v>
      </c>
    </row>
    <row r="7" ht="16" customHeight="1">
      <c r="A7" t="s" s="7">
        <v>37</v>
      </c>
      <c r="B7" s="10" cm="1">
        <f t="array" ref="B7">B2+B4+B5-B6</f>
        <v>12.2</v>
      </c>
      <c r="C7" t="s" s="7">
        <v>10</v>
      </c>
    </row>
    <row r="8" ht="16" customHeight="1">
      <c r="A8" t="s" s="8">
        <v>38</v>
      </c>
      <c r="B8" s="9" cm="1">
        <f t="array" ref="B8">B7/B3</f>
        <v>1.525</v>
      </c>
      <c r="C8" t="s" s="8">
        <v>10</v>
      </c>
    </row>
    <row r="9" ht="16" customHeight="1">
      <c r="A9" t="s" s="7">
        <v>39</v>
      </c>
      <c r="B9" s="14" cm="1">
        <f t="array" ref="B9">B8/B2</f>
        <v>0.149509803921569</v>
      </c>
      <c r="C9" t="s" s="7">
        <v>40</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C8"/>
  <sheetViews>
    <sheetView workbookViewId="0" showGridLines="0" defaultGridColor="1"/>
  </sheetViews>
  <sheetFormatPr defaultColWidth="8.83333" defaultRowHeight="17.4" customHeight="1" outlineLevelRow="0" outlineLevelCol="0"/>
  <cols>
    <col min="1" max="1" width="50" style="15" customWidth="1"/>
    <col min="2" max="2" width="12" style="15" customWidth="1"/>
    <col min="3" max="3" width="13" style="15" customWidth="1"/>
    <col min="4" max="16384" width="8.85156" style="15" customWidth="1"/>
  </cols>
  <sheetData>
    <row r="1" ht="16" customHeight="1">
      <c r="A1" t="s" s="7">
        <v>6</v>
      </c>
      <c r="B1" t="s" s="7">
        <v>7</v>
      </c>
      <c r="C1" t="s" s="7">
        <v>8</v>
      </c>
    </row>
    <row r="2" ht="16" customHeight="1">
      <c r="A2" t="s" s="8">
        <v>42</v>
      </c>
      <c r="B2" s="9">
        <v>30</v>
      </c>
      <c r="C2" t="s" s="8">
        <v>43</v>
      </c>
    </row>
    <row r="3" ht="16" customHeight="1">
      <c r="A3" t="s" s="7">
        <v>44</v>
      </c>
      <c r="B3" s="10">
        <v>6</v>
      </c>
      <c r="C3" t="s" s="7">
        <v>33</v>
      </c>
    </row>
    <row r="4" ht="16" customHeight="1">
      <c r="A4" t="s" s="8">
        <v>45</v>
      </c>
      <c r="B4" s="9">
        <v>2</v>
      </c>
      <c r="C4" t="s" s="8">
        <v>43</v>
      </c>
    </row>
    <row r="5" ht="16" customHeight="1">
      <c r="A5" t="s" s="7">
        <v>46</v>
      </c>
      <c r="B5" s="10" cm="1">
        <f t="array" ref="B5">B2-B4</f>
        <v>28</v>
      </c>
      <c r="C5" t="s" s="7">
        <v>43</v>
      </c>
    </row>
    <row r="6" ht="16" customHeight="1">
      <c r="A6" t="s" s="8">
        <v>47</v>
      </c>
      <c r="B6" s="9" cm="1">
        <f t="array" ref="B6">B5/B3</f>
        <v>4.66666666666667</v>
      </c>
      <c r="C6" t="s" s="8">
        <v>43</v>
      </c>
    </row>
    <row r="7" ht="16" customHeight="1">
      <c r="A7" t="s" s="7">
        <v>48</v>
      </c>
      <c r="B7" s="14" cm="1">
        <f t="array" ref="B7">B6/B2</f>
        <v>0.155555555555556</v>
      </c>
      <c r="C7" t="s" s="7">
        <v>49</v>
      </c>
    </row>
    <row r="8" ht="16" customHeight="1">
      <c r="A8" s="11"/>
      <c r="B8" s="11"/>
      <c r="C8" s="11"/>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C5"/>
  <sheetViews>
    <sheetView workbookViewId="0" showGridLines="0" defaultGridColor="1"/>
  </sheetViews>
  <sheetFormatPr defaultColWidth="8.83333" defaultRowHeight="17.4" customHeight="1" outlineLevelRow="0" outlineLevelCol="0"/>
  <cols>
    <col min="1" max="1" width="50" style="16" customWidth="1"/>
    <col min="2" max="2" width="12" style="16" customWidth="1"/>
    <col min="3" max="3" width="13" style="16" customWidth="1"/>
    <col min="4" max="16384" width="8.85156" style="16" customWidth="1"/>
  </cols>
  <sheetData>
    <row r="1" ht="16" customHeight="1">
      <c r="A1" t="s" s="7">
        <v>6</v>
      </c>
      <c r="B1" t="s" s="7">
        <v>7</v>
      </c>
      <c r="C1" t="s" s="7">
        <v>8</v>
      </c>
    </row>
    <row r="2" ht="16" customHeight="1">
      <c r="A2" t="s" s="8">
        <v>51</v>
      </c>
      <c r="B2" s="9">
        <v>120</v>
      </c>
      <c r="C2" t="s" s="8">
        <v>10</v>
      </c>
    </row>
    <row r="3" ht="16" customHeight="1">
      <c r="A3" t="s" s="7">
        <v>52</v>
      </c>
      <c r="B3" s="10">
        <v>5</v>
      </c>
      <c r="C3" t="s" s="7">
        <v>33</v>
      </c>
    </row>
    <row r="4" ht="16" customHeight="1">
      <c r="A4" t="s" s="8">
        <v>53</v>
      </c>
      <c r="B4" s="17" cm="1">
        <f t="array" ref="B4">1/B3</f>
        <v>0.2</v>
      </c>
      <c r="C4" t="s" s="8">
        <v>49</v>
      </c>
    </row>
    <row r="5" ht="16" customHeight="1">
      <c r="A5" t="s" s="7">
        <v>38</v>
      </c>
      <c r="B5" s="10" cm="1">
        <f t="array" ref="B5">B2*B4</f>
        <v>24</v>
      </c>
      <c r="C5" t="s" s="7">
        <v>10</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D13"/>
  <sheetViews>
    <sheetView workbookViewId="0" showGridLines="0" defaultGridColor="1"/>
  </sheetViews>
  <sheetFormatPr defaultColWidth="8.83333" defaultRowHeight="17.4" customHeight="1" outlineLevelRow="0" outlineLevelCol="0"/>
  <cols>
    <col min="1" max="2" width="45" style="18" customWidth="1"/>
    <col min="3" max="3" width="40" style="18" customWidth="1"/>
    <col min="4" max="4" width="30" style="18" customWidth="1"/>
    <col min="5" max="16384" width="8.85156" style="18" customWidth="1"/>
  </cols>
  <sheetData>
    <row r="1" ht="16" customHeight="1">
      <c r="A1" t="s" s="7">
        <v>55</v>
      </c>
      <c r="B1" t="s" s="7">
        <v>7</v>
      </c>
      <c r="C1" t="s" s="7">
        <v>8</v>
      </c>
      <c r="D1" s="12"/>
    </row>
    <row r="2" ht="16" customHeight="1">
      <c r="A2" t="s" s="8">
        <v>51</v>
      </c>
      <c r="B2" s="19">
        <v>100</v>
      </c>
      <c r="C2" t="s" s="8">
        <v>10</v>
      </c>
      <c r="D2" s="11"/>
    </row>
    <row r="3" ht="16" customHeight="1">
      <c r="A3" t="s" s="7">
        <v>52</v>
      </c>
      <c r="B3" s="20">
        <v>5</v>
      </c>
      <c r="C3" t="s" s="7">
        <v>33</v>
      </c>
      <c r="D3" s="12"/>
    </row>
    <row r="4" ht="16" customHeight="1">
      <c r="A4" t="s" s="8">
        <v>56</v>
      </c>
      <c r="B4" s="19">
        <v>2</v>
      </c>
      <c r="C4" s="11"/>
      <c r="D4" s="11"/>
    </row>
    <row r="5" ht="16" customHeight="1">
      <c r="A5" t="s" s="7">
        <v>57</v>
      </c>
      <c r="B5" s="14" cm="1">
        <f t="array" ref="B5">(1/B3)*B4</f>
        <v>0.4</v>
      </c>
      <c r="C5" t="s" s="7">
        <v>49</v>
      </c>
      <c r="D5" s="12"/>
    </row>
    <row r="6" ht="16" customHeight="1">
      <c r="A6" s="11"/>
      <c r="B6" s="11"/>
      <c r="C6" s="11"/>
      <c r="D6" s="11"/>
    </row>
    <row r="7" ht="16" customHeight="1">
      <c r="A7" t="s" s="7">
        <v>58</v>
      </c>
      <c r="B7" s="12"/>
      <c r="C7" s="12"/>
      <c r="D7" s="12"/>
    </row>
    <row r="8" ht="16" customHeight="1">
      <c r="A8" t="s" s="8">
        <v>59</v>
      </c>
      <c r="B8" t="s" s="8">
        <v>60</v>
      </c>
      <c r="C8" t="s" s="8">
        <v>61</v>
      </c>
      <c r="D8" t="s" s="8">
        <v>62</v>
      </c>
    </row>
    <row r="9" ht="16" customHeight="1">
      <c r="A9" s="20">
        <v>1</v>
      </c>
      <c r="B9" s="10" cm="1">
        <f t="array" ref="B9">B2</f>
        <v>100</v>
      </c>
      <c r="C9" s="10" cm="1">
        <f t="array" ref="C9">B9*$B$5</f>
        <v>40</v>
      </c>
      <c r="D9" s="10" cm="1">
        <f t="array" ref="D9">B9-C9</f>
        <v>60</v>
      </c>
    </row>
    <row r="10" ht="16" customHeight="1">
      <c r="A10" s="19">
        <v>2</v>
      </c>
      <c r="B10" s="9" cm="1">
        <f t="array" ref="B10">D9</f>
        <v>60</v>
      </c>
      <c r="C10" s="9" cm="1">
        <f t="array" ref="C10">B10*$B$5</f>
        <v>24</v>
      </c>
      <c r="D10" s="9" cm="1">
        <f t="array" ref="D10">B10-C10</f>
        <v>36</v>
      </c>
    </row>
    <row r="11" ht="16" customHeight="1">
      <c r="A11" s="20">
        <v>3</v>
      </c>
      <c r="B11" s="10" cm="1">
        <f t="array" ref="B11">D10</f>
        <v>36</v>
      </c>
      <c r="C11" s="10" cm="1">
        <f t="array" ref="C11">B11*$B$5</f>
        <v>14.4</v>
      </c>
      <c r="D11" s="10" cm="1">
        <f t="array" ref="D11">B11-C11</f>
        <v>21.6</v>
      </c>
    </row>
    <row r="12" ht="16" customHeight="1">
      <c r="A12" s="19">
        <v>4</v>
      </c>
      <c r="B12" s="9" cm="1">
        <f t="array" ref="B12">D11</f>
        <v>21.6</v>
      </c>
      <c r="C12" s="9" cm="1">
        <f t="array" ref="C12">B12*$B$5</f>
        <v>8.640000000000001</v>
      </c>
      <c r="D12" s="9" cm="1">
        <f t="array" ref="D12">B12-C12</f>
        <v>12.96</v>
      </c>
    </row>
    <row r="13" ht="16" customHeight="1">
      <c r="A13" s="20">
        <v>5</v>
      </c>
      <c r="B13" s="10" cm="1">
        <f t="array" ref="B13">D12</f>
        <v>12.96</v>
      </c>
      <c r="C13" s="10" cm="1">
        <f t="array" ref="C13">B13</f>
        <v>12.96</v>
      </c>
      <c r="D13" s="10" cm="1">
        <f t="array" ref="D13">B13-C13</f>
        <v>0</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